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103" documentId="11_E60897F41BE170836B02CE998F75CCDC64E183C8" xr6:coauthVersionLast="47" xr6:coauthVersionMax="47" xr10:uidLastSave="{0C79E133-1C5B-4DC1-99D8-D79E8EBCEADD}"/>
  <bookViews>
    <workbookView xWindow="240" yWindow="105" windowWidth="14805" windowHeight="8010" firstSheet="1" activeTab="2" xr2:uid="{00000000-000D-0000-FFFF-FFFF00000000}"/>
  </bookViews>
  <sheets>
    <sheet name="Sheet2" sheetId="2" r:id="rId1"/>
    <sheet name="Sheet1" sheetId="1" r:id="rId2"/>
    <sheet name="Sheet3" sheetId="3" r:id="rId3"/>
  </sheets>
  <calcPr calcId="191028"/>
  <pivotCaches>
    <pivotCache cacheId="24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3" i="1" a="1"/>
  <c r="J2" i="1"/>
  <c r="H9" i="1"/>
  <c r="H8" i="1"/>
  <c r="H7" i="1"/>
  <c r="H6" i="1"/>
  <c r="H5" i="1"/>
  <c r="H4" i="1"/>
  <c r="H3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<sst xmlns="http://schemas.openxmlformats.org/spreadsheetml/2006/main" count="74" uniqueCount="57">
  <si>
    <t>Category</t>
  </si>
  <si>
    <t>Sum of Price</t>
  </si>
  <si>
    <t>Beverage</t>
  </si>
  <si>
    <t>Snacks</t>
  </si>
  <si>
    <t>Stationery</t>
  </si>
  <si>
    <t>Grand Total</t>
  </si>
  <si>
    <t>Order_ID</t>
  </si>
  <si>
    <t>Product</t>
  </si>
  <si>
    <t>Quantity</t>
  </si>
  <si>
    <t>Price</t>
  </si>
  <si>
    <t>Customer</t>
  </si>
  <si>
    <t>Pen</t>
  </si>
  <si>
    <t>Modassir</t>
  </si>
  <si>
    <t>Notebook</t>
  </si>
  <si>
    <t>Rahul</t>
  </si>
  <si>
    <t>Coke</t>
  </si>
  <si>
    <t>Ayan</t>
  </si>
  <si>
    <t>Chips</t>
  </si>
  <si>
    <t>Sana</t>
  </si>
  <si>
    <t>Water</t>
  </si>
  <si>
    <t>Imran</t>
  </si>
  <si>
    <t>Chocolate</t>
  </si>
  <si>
    <t>Marker</t>
  </si>
  <si>
    <t>Juice</t>
  </si>
  <si>
    <t>Biscuits</t>
  </si>
  <si>
    <t>Eraser</t>
  </si>
  <si>
    <t>Pinyin</t>
  </si>
  <si>
    <t>English Meaning</t>
  </si>
  <si>
    <t>cong</t>
  </si>
  <si>
    <t>from</t>
  </si>
  <si>
    <t>wo</t>
  </si>
  <si>
    <t>I, me</t>
  </si>
  <si>
    <t>sui</t>
  </si>
  <si>
    <t>years old</t>
  </si>
  <si>
    <t>ni</t>
  </si>
  <si>
    <t>you</t>
  </si>
  <si>
    <t>qu</t>
  </si>
  <si>
    <t>to go</t>
  </si>
  <si>
    <t>hao</t>
  </si>
  <si>
    <t>good</t>
  </si>
  <si>
    <t>lai</t>
  </si>
  <si>
    <t>to come</t>
  </si>
  <si>
    <t>zhong</t>
  </si>
  <si>
    <t>china, middle</t>
  </si>
  <si>
    <t>zai</t>
  </si>
  <si>
    <t>at, in, located</t>
  </si>
  <si>
    <t>ren</t>
  </si>
  <si>
    <t>person</t>
  </si>
  <si>
    <t>wo jiao Modassir</t>
  </si>
  <si>
    <t>I am called Modassir</t>
  </si>
  <si>
    <t>qian</t>
  </si>
  <si>
    <t>money</t>
  </si>
  <si>
    <t>front, before</t>
  </si>
  <si>
    <t>che</t>
  </si>
  <si>
    <t>car, vehicle</t>
  </si>
  <si>
    <t>ai</t>
  </si>
  <si>
    <t>to 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</si>
</sst>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3.42858900463" createdVersion="8" refreshedVersion="8" minRefreshableVersion="3" recordCount="10" xr:uid="{439FB19E-04A0-40AE-BF69-B056D247B1BE}">
  <cacheSource type="worksheet">
    <worksheetSource ref="A1:F11" sheet="Sheet1"/>
  </cacheSource>
  <cacheFields count="6">
    <cacheField name="Order_ID" numFmtId="0">
      <sharedItems containsSemiMixedTypes="0" containsString="0" containsNumber="1" containsInteger="1" minValue="1001" maxValue="1010"/>
    </cacheField>
    <cacheField name="Product" numFmtId="0">
      <sharedItems/>
    </cacheField>
    <cacheField name="Category" numFmtId="0">
      <sharedItems count="3">
        <s v="Stationery"/>
        <s v="Beverage"/>
        <s v="Snacks"/>
      </sharedItems>
    </cacheField>
    <cacheField name="Quantity" numFmtId="0">
      <sharedItems containsSemiMixedTypes="0" containsString="0" containsNumber="1" containsInteger="1" minValue="2" maxValue="20"/>
    </cacheField>
    <cacheField name="Price" numFmtId="0">
      <sharedItems containsSemiMixedTypes="0" containsString="0" containsNumber="1" containsInteger="1" minValue="5" maxValue="50"/>
    </cacheField>
    <cacheField name="Customer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Pen"/>
    <x v="0"/>
    <n v="5"/>
    <n v="10"/>
    <s v="Modassir"/>
  </r>
  <r>
    <n v="1002"/>
    <s v="Notebook"/>
    <x v="0"/>
    <n v="12"/>
    <n v="50"/>
    <s v="Rahul"/>
  </r>
  <r>
    <n v="1003"/>
    <s v="Coke"/>
    <x v="1"/>
    <n v="3"/>
    <n v="20"/>
    <s v="Ayan"/>
  </r>
  <r>
    <n v="1004"/>
    <s v="Chips"/>
    <x v="2"/>
    <n v="2"/>
    <n v="30"/>
    <s v="Sana"/>
  </r>
  <r>
    <n v="1005"/>
    <s v="Water"/>
    <x v="1"/>
    <n v="8"/>
    <n v="15"/>
    <s v="Imran"/>
  </r>
  <r>
    <n v="1006"/>
    <s v="Chocolate"/>
    <x v="2"/>
    <n v="6"/>
    <n v="45"/>
    <s v="Modassir"/>
  </r>
  <r>
    <n v="1007"/>
    <s v="Marker"/>
    <x v="0"/>
    <n v="15"/>
    <n v="25"/>
    <s v="Rahul"/>
  </r>
  <r>
    <n v="1008"/>
    <s v="Juice"/>
    <x v="1"/>
    <n v="4"/>
    <n v="35"/>
    <s v="Ayan"/>
  </r>
  <r>
    <n v="1009"/>
    <s v="Biscuits"/>
    <x v="2"/>
    <n v="10"/>
    <n v="12"/>
    <s v="Sana"/>
  </r>
  <r>
    <n v="1010"/>
    <s v="Eraser"/>
    <x v="0"/>
    <n v="20"/>
    <n v="5"/>
    <s v="Imr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1EAF7-37CC-4E21-8A57-9AE31AEE2E65}" name="PivotTable1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6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B804-9690-4EB1-9EAD-AF0014A8842C}">
  <dimension ref="A3:B7"/>
  <sheetViews>
    <sheetView workbookViewId="0">
      <selection activeCell="D8" sqref="D8"/>
    </sheetView>
  </sheetViews>
  <sheetFormatPr defaultRowHeight="15"/>
  <cols>
    <col min="1" max="2" width="12.285156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70</v>
      </c>
    </row>
    <row r="5" spans="1:2">
      <c r="A5" t="s">
        <v>3</v>
      </c>
      <c r="B5" s="4">
        <v>87</v>
      </c>
    </row>
    <row r="6" spans="1:2">
      <c r="A6" t="s">
        <v>4</v>
      </c>
      <c r="B6" s="4">
        <v>90</v>
      </c>
    </row>
    <row r="7" spans="1:2">
      <c r="A7" t="s">
        <v>5</v>
      </c>
      <c r="B7" s="4">
        <v>247</v>
      </c>
    </row>
  </sheetData>
  <conditionalFormatting sqref="D8">
    <cfRule type="cellIs" dxfId="0" priority="1" operator="greater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opLeftCell="K1" workbookViewId="0">
      <selection activeCell="R2" sqref="R2:V11"/>
    </sheetView>
  </sheetViews>
  <sheetFormatPr defaultRowHeight="15"/>
  <cols>
    <col min="1" max="6" width="17" customWidth="1"/>
    <col min="8" max="8" width="52.28515625" customWidth="1"/>
    <col min="10" max="10" width="58.28515625" customWidth="1"/>
    <col min="18" max="18" width="16.42578125" customWidth="1"/>
    <col min="19" max="19" width="32.140625" customWidth="1"/>
    <col min="21" max="21" width="21.140625" customWidth="1"/>
    <col min="22" max="22" width="24.7109375" customWidth="1"/>
  </cols>
  <sheetData>
    <row r="1" spans="1:10" ht="26.25" customHeight="1">
      <c r="A1" s="2" t="s">
        <v>6</v>
      </c>
      <c r="B1" s="2" t="s">
        <v>7</v>
      </c>
      <c r="C1" s="2" t="s">
        <v>0</v>
      </c>
      <c r="D1" s="2" t="s">
        <v>8</v>
      </c>
      <c r="E1" s="2" t="s">
        <v>9</v>
      </c>
      <c r="F1" s="2" t="s">
        <v>10</v>
      </c>
    </row>
    <row r="2" spans="1:10" ht="26.25" customHeight="1">
      <c r="A2" s="1">
        <v>1001</v>
      </c>
      <c r="B2" s="1" t="s">
        <v>11</v>
      </c>
      <c r="C2" s="1" t="s">
        <v>4</v>
      </c>
      <c r="D2" s="1">
        <v>5</v>
      </c>
      <c r="E2" s="1">
        <v>10</v>
      </c>
      <c r="F2" s="1" t="s">
        <v>12</v>
      </c>
      <c r="H2" s="6">
        <f>INDEX(E2:E11, MATCH("Marker", B2:B11, 0))</f>
        <v>25</v>
      </c>
      <c r="J2" s="6" t="str">
        <f>IF(D2&gt;=10, "Bulk", IF(D2&gt;=5, "Medium", "Small"))</f>
        <v>Medium</v>
      </c>
    </row>
    <row r="3" spans="1:10" ht="26.25" customHeight="1">
      <c r="A3" s="1">
        <v>1002</v>
      </c>
      <c r="B3" s="1" t="s">
        <v>13</v>
      </c>
      <c r="C3" s="1" t="s">
        <v>4</v>
      </c>
      <c r="D3" s="1">
        <v>12</v>
      </c>
      <c r="E3" s="1">
        <v>50</v>
      </c>
      <c r="F3" s="1" t="s">
        <v>14</v>
      </c>
      <c r="H3" s="6" t="str">
        <f>_xlfn.XLOOKUP(35, E2:E11, B2:B11, "Out of Stock")</f>
        <v>Juice</v>
      </c>
      <c r="J3" s="6" t="str" cm="1">
        <f t="array" ref="J3">_xlfn.IFS(D3&gt;=10, "Bulk", D3&gt;=5, "Medium", TRUE, "Small")</f>
        <v>Bulk</v>
      </c>
    </row>
    <row r="4" spans="1:10" ht="26.25" customHeight="1">
      <c r="A4" s="1">
        <v>1003</v>
      </c>
      <c r="B4" s="1" t="s">
        <v>15</v>
      </c>
      <c r="C4" s="1" t="s">
        <v>2</v>
      </c>
      <c r="D4" s="1">
        <v>3</v>
      </c>
      <c r="E4" s="1">
        <v>20</v>
      </c>
      <c r="F4" s="1" t="s">
        <v>16</v>
      </c>
      <c r="H4" s="6" t="str">
        <f>INDEX(C2:C11, MATCH("Chips", B2:B11,0))</f>
        <v>Snacks</v>
      </c>
      <c r="J4" s="6" t="str">
        <f>LEFT(B2, 3)</f>
        <v>Pen</v>
      </c>
    </row>
    <row r="5" spans="1:10" ht="26.25" customHeight="1">
      <c r="A5" s="1">
        <v>1004</v>
      </c>
      <c r="B5" s="1" t="s">
        <v>17</v>
      </c>
      <c r="C5" s="1" t="s">
        <v>3</v>
      </c>
      <c r="D5" s="1">
        <v>2</v>
      </c>
      <c r="E5" s="1">
        <v>30</v>
      </c>
      <c r="F5" s="1" t="s">
        <v>18</v>
      </c>
      <c r="H5" s="6" t="str">
        <f>INDEX(F2:F11, MATCH(1005, A2:A11, 0))</f>
        <v>Imran</v>
      </c>
    </row>
    <row r="6" spans="1:10" ht="26.25" customHeight="1">
      <c r="A6" s="1">
        <v>1005</v>
      </c>
      <c r="B6" s="1" t="s">
        <v>19</v>
      </c>
      <c r="C6" s="1" t="s">
        <v>2</v>
      </c>
      <c r="D6" s="1">
        <v>8</v>
      </c>
      <c r="E6" s="1">
        <v>15</v>
      </c>
      <c r="F6" s="1" t="s">
        <v>20</v>
      </c>
      <c r="H6" s="6">
        <f>SUMIFS(D2:D11, C2:C11, "Stationery")</f>
        <v>52</v>
      </c>
    </row>
    <row r="7" spans="1:10" ht="26.25" customHeight="1">
      <c r="A7" s="1">
        <v>1006</v>
      </c>
      <c r="B7" s="1" t="s">
        <v>21</v>
      </c>
      <c r="C7" s="1" t="s">
        <v>3</v>
      </c>
      <c r="D7" s="1">
        <v>6</v>
      </c>
      <c r="E7" s="1">
        <v>45</v>
      </c>
      <c r="F7" s="1" t="s">
        <v>12</v>
      </c>
      <c r="H7" s="6">
        <f>SUMIF(D2:D11, "&gt;5", E2:E11)</f>
        <v>152</v>
      </c>
    </row>
    <row r="8" spans="1:10" ht="26.25" customHeight="1">
      <c r="A8" s="1">
        <v>1007</v>
      </c>
      <c r="B8" s="1" t="s">
        <v>22</v>
      </c>
      <c r="C8" s="1" t="s">
        <v>4</v>
      </c>
      <c r="D8" s="1">
        <v>15</v>
      </c>
      <c r="E8" s="1">
        <v>25</v>
      </c>
      <c r="F8" s="1" t="s">
        <v>14</v>
      </c>
      <c r="H8" s="6">
        <f>COUNTIFS(C2:C11, "Snacks")</f>
        <v>3</v>
      </c>
    </row>
    <row r="9" spans="1:10" ht="26.25" customHeight="1">
      <c r="A9" s="1">
        <v>1008</v>
      </c>
      <c r="B9" s="1" t="s">
        <v>23</v>
      </c>
      <c r="C9" s="1" t="s">
        <v>2</v>
      </c>
      <c r="D9" s="1">
        <v>4</v>
      </c>
      <c r="E9" s="1">
        <v>35</v>
      </c>
      <c r="F9" s="1" t="s">
        <v>16</v>
      </c>
      <c r="H9" s="6">
        <f>COUNTIFS(F2:F11, "Modassir")</f>
        <v>2</v>
      </c>
    </row>
    <row r="10" spans="1:10" ht="26.25" customHeight="1">
      <c r="A10" s="1">
        <v>1009</v>
      </c>
      <c r="B10" s="1" t="s">
        <v>24</v>
      </c>
      <c r="C10" s="1" t="s">
        <v>3</v>
      </c>
      <c r="D10" s="1">
        <v>10</v>
      </c>
      <c r="E10" s="1">
        <v>12</v>
      </c>
      <c r="F10" s="1" t="s">
        <v>18</v>
      </c>
    </row>
    <row r="11" spans="1:10" ht="26.25" customHeight="1">
      <c r="A11" s="1">
        <v>1010</v>
      </c>
      <c r="B11" s="1" t="s">
        <v>25</v>
      </c>
      <c r="C11" s="1" t="s">
        <v>4</v>
      </c>
      <c r="D11" s="1">
        <v>20</v>
      </c>
      <c r="E11" s="1">
        <v>5</v>
      </c>
      <c r="F1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CF71-FBCD-49C4-8CD1-9A35AABDA5CE}">
  <dimension ref="A1:E10"/>
  <sheetViews>
    <sheetView tabSelected="1" workbookViewId="0">
      <selection activeCell="A2" activeCellId="1" sqref="A1:XFD1 A2:XFD10"/>
    </sheetView>
  </sheetViews>
  <sheetFormatPr defaultRowHeight="15"/>
  <cols>
    <col min="1" max="1" width="23.5703125" customWidth="1"/>
    <col min="2" max="2" width="30.42578125" customWidth="1"/>
    <col min="4" max="4" width="27.42578125" customWidth="1"/>
    <col min="5" max="5" width="29.5703125" customWidth="1"/>
  </cols>
  <sheetData>
    <row r="1" spans="1:5" ht="29.25" customHeight="1">
      <c r="A1" s="5" t="s">
        <v>26</v>
      </c>
      <c r="B1" s="5" t="s">
        <v>27</v>
      </c>
      <c r="D1" s="5" t="s">
        <v>28</v>
      </c>
      <c r="E1" s="5" t="s">
        <v>29</v>
      </c>
    </row>
    <row r="2" spans="1:5" ht="29.25" customHeight="1">
      <c r="A2" s="5" t="s">
        <v>30</v>
      </c>
      <c r="B2" s="5" t="s">
        <v>31</v>
      </c>
      <c r="D2" s="5" t="s">
        <v>32</v>
      </c>
      <c r="E2" s="5" t="s">
        <v>33</v>
      </c>
    </row>
    <row r="3" spans="1:5" ht="29.25" customHeight="1">
      <c r="A3" s="5" t="s">
        <v>34</v>
      </c>
      <c r="B3" s="5" t="s">
        <v>35</v>
      </c>
      <c r="D3" s="5" t="s">
        <v>36</v>
      </c>
      <c r="E3" s="5" t="s">
        <v>37</v>
      </c>
    </row>
    <row r="4" spans="1:5" ht="29.25" customHeight="1">
      <c r="A4" s="5" t="s">
        <v>38</v>
      </c>
      <c r="B4" s="5" t="s">
        <v>39</v>
      </c>
      <c r="D4" s="5" t="s">
        <v>40</v>
      </c>
      <c r="E4" s="5" t="s">
        <v>41</v>
      </c>
    </row>
    <row r="5" spans="1:5" ht="29.25" customHeight="1">
      <c r="A5" s="5" t="s">
        <v>42</v>
      </c>
      <c r="B5" s="5" t="s">
        <v>43</v>
      </c>
      <c r="D5" s="5" t="s">
        <v>44</v>
      </c>
      <c r="E5" s="5" t="s">
        <v>45</v>
      </c>
    </row>
    <row r="6" spans="1:5" ht="29.25" customHeight="1">
      <c r="A6" s="5" t="s">
        <v>46</v>
      </c>
      <c r="B6" s="5" t="s">
        <v>47</v>
      </c>
      <c r="D6" s="5" t="s">
        <v>48</v>
      </c>
      <c r="E6" s="5" t="s">
        <v>49</v>
      </c>
    </row>
    <row r="7" spans="1:5" ht="29.25" customHeight="1">
      <c r="A7" s="5" t="s">
        <v>50</v>
      </c>
      <c r="B7" s="5" t="s">
        <v>51</v>
      </c>
    </row>
    <row r="8" spans="1:5" ht="29.25" customHeight="1">
      <c r="A8" s="5" t="s">
        <v>50</v>
      </c>
      <c r="B8" s="5" t="s">
        <v>52</v>
      </c>
    </row>
    <row r="9" spans="1:5" ht="29.25" customHeight="1">
      <c r="A9" s="5" t="s">
        <v>53</v>
      </c>
      <c r="B9" s="5" t="s">
        <v>54</v>
      </c>
    </row>
    <row r="10" spans="1:5" ht="29.25" customHeight="1">
      <c r="A10" s="5" t="s">
        <v>55</v>
      </c>
      <c r="B10" s="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2026-10-18T04:18:42Z</dcterms:created>
  <dcterms:modified xsi:type="dcterms:W3CDTF">2026-10-20T07:45:38Z</dcterms:modified>
  <cp:category/>
  <cp:contentStatus/>
</cp:coreProperties>
</file>